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kitten\avr32\github\sdr-widget\"/>
    </mc:Choice>
  </mc:AlternateContent>
  <xr:revisionPtr revIDLastSave="0" documentId="13_ncr:1_{2E6B9037-DBBB-460F-BD04-137FD7F1C36B}" xr6:coauthVersionLast="47" xr6:coauthVersionMax="47" xr10:uidLastSave="{00000000-0000-0000-0000-000000000000}"/>
  <bookViews>
    <workbookView xWindow="-120" yWindow="-120" windowWidth="38640" windowHeight="21390" xr2:uid="{B1B58D20-3DCB-4E00-BC4C-87636F2172FE}"/>
  </bookViews>
  <sheets>
    <sheet name="Test points" sheetId="1" r:id="rId1"/>
    <sheet name="Removed featur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50" i="1" l="1"/>
  <c r="N49" i="1"/>
  <c r="N41" i="1"/>
  <c r="N40" i="1"/>
  <c r="L50" i="1"/>
  <c r="K50" i="1"/>
  <c r="L49" i="1"/>
  <c r="K49" i="1"/>
  <c r="L41" i="1"/>
  <c r="K41" i="1"/>
  <c r="L40" i="1"/>
  <c r="K40" i="1"/>
  <c r="N47" i="1" l="1"/>
  <c r="N46" i="1"/>
  <c r="N38" i="1"/>
  <c r="N37" i="1"/>
</calcChain>
</file>

<file path=xl/sharedStrings.xml><?xml version="1.0" encoding="utf-8"?>
<sst xmlns="http://schemas.openxmlformats.org/spreadsheetml/2006/main" count="218" uniqueCount="204">
  <si>
    <t>Test points</t>
  </si>
  <si>
    <t>SPRX</t>
  </si>
  <si>
    <t>PX30</t>
  </si>
  <si>
    <t>PX31</t>
  </si>
  <si>
    <t>PX33</t>
  </si>
  <si>
    <t>PX55</t>
  </si>
  <si>
    <t>PA22</t>
  </si>
  <si>
    <t>GPIO_06</t>
  </si>
  <si>
    <t>GPIO_07</t>
  </si>
  <si>
    <t>GPIO_09</t>
  </si>
  <si>
    <t>GPIO_03</t>
  </si>
  <si>
    <t>GPIO_00_ROTQ</t>
  </si>
  <si>
    <t>USBmod signal</t>
  </si>
  <si>
    <t>USBmod pin</t>
  </si>
  <si>
    <t>TP18</t>
  </si>
  <si>
    <t>TP51</t>
  </si>
  <si>
    <t>TP70</t>
  </si>
  <si>
    <t>TP72</t>
  </si>
  <si>
    <t>TP71</t>
  </si>
  <si>
    <t>Code use</t>
  </si>
  <si>
    <t>Currently free</t>
  </si>
  <si>
    <t>Sequential code: Indicate spk_buffer_1 vs spk_buffer_0 use</t>
  </si>
  <si>
    <t>Floormotion: gain selector pin</t>
  </si>
  <si>
    <t>PA00</t>
  </si>
  <si>
    <t>Boenicke: RATE_LED1</t>
  </si>
  <si>
    <t>Boenicke: RATE_LED0</t>
  </si>
  <si>
    <t>PA01</t>
  </si>
  <si>
    <t>PA26</t>
  </si>
  <si>
    <t>Boenicke: RATE_LED2</t>
  </si>
  <si>
    <t>-</t>
  </si>
  <si>
    <t>Testing</t>
  </si>
  <si>
    <t>SPRX HA</t>
  </si>
  <si>
    <t>Mk3</t>
  </si>
  <si>
    <t>UAC2</t>
  </si>
  <si>
    <t>TOS</t>
  </si>
  <si>
    <t>Up for removal:</t>
  </si>
  <si>
    <t>USB_METALLIC_NOISE_SIM</t>
  </si>
  <si>
    <t>Xhpsdr_device_audio_task.c</t>
  </si>
  <si>
    <t>Si570</t>
  </si>
  <si>
    <t>AD5301</t>
  </si>
  <si>
    <t>AD7991</t>
  </si>
  <si>
    <t>LCD_bargraphs</t>
  </si>
  <si>
    <t>PCF8574</t>
  </si>
  <si>
    <t>TMP100</t>
  </si>
  <si>
    <t>rotary_encoder</t>
  </si>
  <si>
    <t>mutexQueLCD</t>
  </si>
  <si>
    <t>LOGGING</t>
  </si>
  <si>
    <t>FRQ_CGH_DURING_TX</t>
  </si>
  <si>
    <t>FLTR_CGH_DURING_TX</t>
  </si>
  <si>
    <t>I2C_LCD_PRINT</t>
  </si>
  <si>
    <t>DG8SAQ_cmd.c</t>
  </si>
  <si>
    <t>DG8SAQ_SET_SI570_REGS</t>
  </si>
  <si>
    <t>DG8SAQ_GET_SI570_REGS</t>
  </si>
  <si>
    <t>mobo_data_t</t>
  </si>
  <si>
    <t>i2c_avail</t>
  </si>
  <si>
    <t>have_si570</t>
  </si>
  <si>
    <t>DISP_RX_DB</t>
  </si>
  <si>
    <t>taskPushButtonMenu</t>
  </si>
  <si>
    <t>flashyBlinky</t>
  </si>
  <si>
    <t>taskStartupLogDisplay</t>
  </si>
  <si>
    <t>StartTaskPowerDisplay</t>
  </si>
  <si>
    <t>cdata</t>
  </si>
  <si>
    <t>freq_and_filter</t>
  </si>
  <si>
    <t>MOBO_FUNCTIONS</t>
  </si>
  <si>
    <t>removing</t>
  </si>
  <si>
    <t>FM</t>
  </si>
  <si>
    <t>Recording</t>
  </si>
  <si>
    <t>initialization_count</t>
  </si>
  <si>
    <t>widget_is_initializing</t>
  </si>
  <si>
    <t>dg8saqFunctionWrite</t>
  </si>
  <si>
    <t>usb_user_DG8SAQ</t>
  </si>
  <si>
    <t>LCD_DISPLAY</t>
  </si>
  <si>
    <t>taskLCD.h</t>
  </si>
  <si>
    <t>TMP_V_I_SECOND_LINE</t>
  </si>
  <si>
    <t>taskStartupLogDisplay.h</t>
  </si>
  <si>
    <t>widget_factory_reset_handler_register</t>
  </si>
  <si>
    <t>i2c_device_scan</t>
  </si>
  <si>
    <t>TX_state</t>
  </si>
  <si>
    <t>FAN_CONTROL</t>
  </si>
  <si>
    <t>BUILTIN_PCF_FAN</t>
  </si>
  <si>
    <t>EXTERN_PCF_FAN</t>
  </si>
  <si>
    <t>PCF_I2C</t>
  </si>
  <si>
    <t>pcfmobo</t>
  </si>
  <si>
    <t>PTT</t>
  </si>
  <si>
    <t>FEATURE_IMAGE_UAC1_DG8SAQ</t>
  </si>
  <si>
    <t>REG_TX_state</t>
  </si>
  <si>
    <t>REG_PTT_1</t>
  </si>
  <si>
    <t>TX_flag</t>
  </si>
  <si>
    <t>defines in SDR-Widget.h</t>
  </si>
  <si>
    <t>USB_HOST_FEATURE</t>
  </si>
  <si>
    <t>taskPowerDisplay</t>
  </si>
  <si>
    <t>dg8saqFunctionSetup</t>
  </si>
  <si>
    <t>usb_user_read_request</t>
  </si>
  <si>
    <t>Simplify</t>
  </si>
  <si>
    <t>Scary to mess with USB core functionality!</t>
  </si>
  <si>
    <t>private_sof_counter</t>
  </si>
  <si>
    <t>host_audio_task</t>
  </si>
  <si>
    <t>mutexI2C</t>
  </si>
  <si>
    <t>freq_from_usb</t>
  </si>
  <si>
    <t>FRQ_fromusb</t>
  </si>
  <si>
    <t>GPIO_CW_KEY</t>
  </si>
  <si>
    <t>PTT_1</t>
  </si>
  <si>
    <t>REVERSE_PTT2_LOGIC</t>
  </si>
  <si>
    <t>ENCODER_SWITCH</t>
  </si>
  <si>
    <t>GPIO_PIN_EXAMPLE</t>
  </si>
  <si>
    <t>POWER_SWR</t>
  </si>
  <si>
    <t>widget_blink</t>
  </si>
  <si>
    <t>widget_blink_morse</t>
  </si>
  <si>
    <t>SWR_ALARM_FUNC</t>
  </si>
  <si>
    <t>TWI_SCL</t>
  </si>
  <si>
    <t>nvram features system</t>
  </si>
  <si>
    <t>removable functions in widget.c</t>
  </si>
  <si>
    <t>Removed</t>
  </si>
  <si>
    <t>features</t>
  </si>
  <si>
    <t>quirks</t>
  </si>
  <si>
    <t>default to UAC2</t>
  </si>
  <si>
    <t>various images</t>
  </si>
  <si>
    <t>widget_startup_log_line</t>
  </si>
  <si>
    <t>Compile-time features, remove all others</t>
  </si>
  <si>
    <t>FEATURE_BOARD_DEFAULT=feature_board_usbi2s</t>
  </si>
  <si>
    <t>FEATURE_IMAGE_DEFAULT=feature_image_uac2_audio</t>
  </si>
  <si>
    <t>FEATURE_IN_DEFAULT=feature_in_normal</t>
  </si>
  <si>
    <t>FEATURE_OUT_DEFAULT=feature_out_normal</t>
  </si>
  <si>
    <t>FEATURE_ADC_DEFAULT=feature_adc_none</t>
  </si>
  <si>
    <t>FEATURE_DAC_DEFAULT=feature_dac_generic</t>
  </si>
  <si>
    <t>FEATURE_LCD_DEFAULT=feature_lcd_none</t>
  </si>
  <si>
    <t>FEATURE_LOG_DEFAULT=feature_log_none</t>
  </si>
  <si>
    <t>FEATURE_FILTER_DEFAULT=feature_filter_fir</t>
  </si>
  <si>
    <t>FEATURE_QUIRK_DEFAULT=feature_quirk_none</t>
  </si>
  <si>
    <t>FEATURES_DEFAULT</t>
  </si>
  <si>
    <t>informes</t>
  </si>
  <si>
    <t>features_t features = { FEATURES_DEFAULT };</t>
  </si>
  <si>
    <t>const features_t features_default = { FEATURES_DEFAULT };</t>
  </si>
  <si>
    <t>features_nvram</t>
  </si>
  <si>
    <t>Is volume stored to flash?</t>
  </si>
  <si>
    <t>mobo_ctrl_factory_reset_handler</t>
  </si>
  <si>
    <t>dg8saqBuffer</t>
  </si>
  <si>
    <t>reset_widget</t>
  </si>
  <si>
    <t>All of DG8SAQ_cmd.h</t>
  </si>
  <si>
    <t>All of Mobo_config.h</t>
  </si>
  <si>
    <t>widget_factory_reset_handler_t</t>
  </si>
  <si>
    <t>widget_startup_log_char</t>
  </si>
  <si>
    <t>widget_display_grab</t>
  </si>
  <si>
    <t>widget_display_string_and_scroll</t>
  </si>
  <si>
    <t>widget_is_supervisor</t>
  </si>
  <si>
    <t>widget_is_tasking</t>
  </si>
  <si>
    <t>widget_delay_task</t>
  </si>
  <si>
    <t>widget_ready</t>
  </si>
  <si>
    <t>widget_init</t>
  </si>
  <si>
    <t>printf in widget-control.c</t>
  </si>
  <si>
    <t>TaskEXERCISE</t>
  </si>
  <si>
    <t>Q: Can two different DMAs subscribe to the same incoming I2S? Then use a short one for packets going into the outgoing DMA and a long one for packets being fetched by USB</t>
  </si>
  <si>
    <t>A: Probably not, the memory pointers are a feature of the IO port</t>
  </si>
  <si>
    <t>Q: Can DMA copy RAM contents?</t>
  </si>
  <si>
    <t>x_dg8saq_get_dev_desc_pointer</t>
  </si>
  <si>
    <t>x_dg8saq_get_dev_desc_length</t>
  </si>
  <si>
    <t>DG8SAQ_VENDOR_ID</t>
  </si>
  <si>
    <t>DG8SAQ_PRODUCT_ID</t>
  </si>
  <si>
    <t>}</t>
  </si>
  <si>
    <t xml:space="preserve"> </t>
  </si>
  <si>
    <t>Floormotion: unused SENSOR_INT, Interrupt handler: Indicate spk_buffer_1 vs spk_buffer_0 use</t>
  </si>
  <si>
    <t>Channel</t>
  </si>
  <si>
    <t>ADC_LRCK</t>
  </si>
  <si>
    <t>ADC_BCK</t>
  </si>
  <si>
    <t>AK5394A_pdca_disable</t>
  </si>
  <si>
    <t>AK5394A_pdca_enable</t>
  </si>
  <si>
    <t>AK5394_RSTN</t>
  </si>
  <si>
    <t>// REMOVE!</t>
  </si>
  <si>
    <t>D0</t>
  </si>
  <si>
    <t>D1</t>
  </si>
  <si>
    <t>D2</t>
  </si>
  <si>
    <t>D4</t>
  </si>
  <si>
    <t>D3</t>
  </si>
  <si>
    <t>D6</t>
  </si>
  <si>
    <t>scope_32</t>
  </si>
  <si>
    <t>FMADC, mobo_wait_LRCK_asm()</t>
  </si>
  <si>
    <t>First setup of pdca_rx</t>
  </si>
  <si>
    <t>done during LRCK=0</t>
  </si>
  <si>
    <t>96ksps, 1.16-1.27µs before rising edge</t>
  </si>
  <si>
    <t>LR swapped</t>
  </si>
  <si>
    <t>SPRX does two calls with 'u', long before LRCK starts up, and long before action on D4 = PX30 = seq spk buffer toggle</t>
  </si>
  <si>
    <t>44.1 input, trigger goes low after LRCK goes high</t>
  </si>
  <si>
    <t>seq. Code</t>
  </si>
  <si>
    <t>992-478ns</t>
  </si>
  <si>
    <t>asm. Code</t>
  </si>
  <si>
    <t>778-572ns</t>
  </si>
  <si>
    <t>TX alignment:</t>
  </si>
  <si>
    <t>982-512ns</t>
  </si>
  <si>
    <t>Tick time in ns</t>
  </si>
  <si>
    <t>Fix pdma setup with next buffer</t>
  </si>
  <si>
    <t>static const pdca_channel_options_t PDCA_OPTIONS = {</t>
  </si>
  <si>
    <t>r_addr is NULL, is that OK?</t>
  </si>
  <si>
    <t>vs</t>
  </si>
  <si>
    <t>pdca_reload_channel</t>
  </si>
  <si>
    <t>Floormotion: unused FLED0_R, interrupt handler: Indicate ADC_buf_DMA_write_1 vs _0</t>
  </si>
  <si>
    <t>D5</t>
  </si>
  <si>
    <t>ADC_buf_USB_IN = 1 - ADC_buf_USB_IN;</t>
  </si>
  <si>
    <t xml:space="preserve">Rewrite as if-then-else, check other values for this </t>
  </si>
  <si>
    <t>ssc_i2s_init</t>
  </si>
  <si>
    <t>FEATURE_ADC_NONE</t>
  </si>
  <si>
    <t>ADC buffer to USB copy operation</t>
  </si>
  <si>
    <t>Execute uac2_d_a_t</t>
  </si>
  <si>
    <t>ADC_DOUT</t>
  </si>
  <si>
    <t>USB to DAC buffer copy operation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</si>
</sst>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899ED8-74FC-48CC-A8A3-A11EF2FCA652}">
  <dimension ref="A2:N102"/>
  <sheetViews>
    <sheetView tabSelected="1" workbookViewId="0">
      <selection activeCell="F10" sqref="F10"/>
    </sheetView>
  </sheetViews>
  <sheetFormatPr defaultRowHeight="15" x14ac:dyDescent="0.25"/>
  <cols>
    <col min="1" max="1" width="10.7109375" bestFit="1" customWidth="1"/>
    <col min="2" max="2" width="14.5703125" bestFit="1" customWidth="1"/>
    <col min="3" max="3" width="11.7109375" bestFit="1" customWidth="1"/>
    <col min="4" max="4" width="124.7109375" bestFit="1" customWidth="1"/>
  </cols>
  <sheetData>
    <row r="2" spans="1:6" x14ac:dyDescent="0.25">
      <c r="A2" t="s">
        <v>0</v>
      </c>
    </row>
    <row r="4" spans="1:6" x14ac:dyDescent="0.25">
      <c r="A4" t="s">
        <v>1</v>
      </c>
      <c r="B4" t="s">
        <v>12</v>
      </c>
      <c r="C4" t="s">
        <v>13</v>
      </c>
      <c r="D4" t="s">
        <v>19</v>
      </c>
      <c r="E4" t="s">
        <v>161</v>
      </c>
    </row>
    <row r="5" spans="1:6" x14ac:dyDescent="0.25">
      <c r="B5" t="s">
        <v>162</v>
      </c>
      <c r="E5" t="s">
        <v>168</v>
      </c>
    </row>
    <row r="6" spans="1:6" x14ac:dyDescent="0.25">
      <c r="B6" t="s">
        <v>163</v>
      </c>
      <c r="E6" t="s">
        <v>169</v>
      </c>
    </row>
    <row r="7" spans="1:6" x14ac:dyDescent="0.25">
      <c r="B7" t="s">
        <v>202</v>
      </c>
      <c r="E7" t="s">
        <v>170</v>
      </c>
    </row>
    <row r="8" spans="1:6" x14ac:dyDescent="0.25">
      <c r="A8" t="s">
        <v>2</v>
      </c>
      <c r="B8" s="2" t="s">
        <v>7</v>
      </c>
      <c r="C8" t="s">
        <v>18</v>
      </c>
      <c r="D8" t="s">
        <v>21</v>
      </c>
      <c r="E8" t="s">
        <v>171</v>
      </c>
      <c r="F8" t="s">
        <v>200</v>
      </c>
    </row>
    <row r="9" spans="1:6" x14ac:dyDescent="0.25">
      <c r="A9" t="s">
        <v>3</v>
      </c>
      <c r="B9" s="2" t="s">
        <v>8</v>
      </c>
      <c r="C9" t="s">
        <v>17</v>
      </c>
      <c r="D9" t="s">
        <v>194</v>
      </c>
      <c r="E9" t="s">
        <v>195</v>
      </c>
      <c r="F9" t="s">
        <v>203</v>
      </c>
    </row>
    <row r="10" spans="1:6" x14ac:dyDescent="0.25">
      <c r="A10" t="s">
        <v>4</v>
      </c>
      <c r="B10" s="2" t="s">
        <v>9</v>
      </c>
      <c r="C10" t="s">
        <v>16</v>
      </c>
      <c r="D10" t="s">
        <v>160</v>
      </c>
      <c r="E10" t="s">
        <v>172</v>
      </c>
    </row>
    <row r="11" spans="1:6" x14ac:dyDescent="0.25">
      <c r="A11" t="s">
        <v>5</v>
      </c>
      <c r="B11" s="2" t="s">
        <v>10</v>
      </c>
      <c r="C11" t="s">
        <v>15</v>
      </c>
      <c r="D11" t="s">
        <v>22</v>
      </c>
    </row>
    <row r="12" spans="1:6" x14ac:dyDescent="0.25">
      <c r="A12" t="s">
        <v>6</v>
      </c>
      <c r="B12" s="2" t="s">
        <v>11</v>
      </c>
      <c r="C12" t="s">
        <v>14</v>
      </c>
      <c r="D12" t="s">
        <v>20</v>
      </c>
      <c r="E12" t="s">
        <v>173</v>
      </c>
      <c r="F12" t="s">
        <v>201</v>
      </c>
    </row>
    <row r="14" spans="1:6" x14ac:dyDescent="0.25">
      <c r="A14" t="s">
        <v>23</v>
      </c>
      <c r="B14" s="1" t="s">
        <v>29</v>
      </c>
      <c r="D14" t="s">
        <v>24</v>
      </c>
    </row>
    <row r="15" spans="1:6" x14ac:dyDescent="0.25">
      <c r="A15" t="s">
        <v>26</v>
      </c>
      <c r="B15" s="1" t="s">
        <v>29</v>
      </c>
      <c r="D15" t="s">
        <v>25</v>
      </c>
    </row>
    <row r="16" spans="1:6" x14ac:dyDescent="0.25">
      <c r="A16" t="s">
        <v>27</v>
      </c>
      <c r="B16" s="1" t="s">
        <v>29</v>
      </c>
      <c r="D16" t="s">
        <v>28</v>
      </c>
    </row>
    <row r="19" spans="1:5" x14ac:dyDescent="0.25">
      <c r="A19" t="s">
        <v>151</v>
      </c>
    </row>
    <row r="20" spans="1:5" x14ac:dyDescent="0.25">
      <c r="A20" t="s">
        <v>152</v>
      </c>
    </row>
    <row r="23" spans="1:5" x14ac:dyDescent="0.25">
      <c r="A23" t="s">
        <v>153</v>
      </c>
      <c r="E23" t="s">
        <v>188</v>
      </c>
    </row>
    <row r="24" spans="1:5" x14ac:dyDescent="0.25">
      <c r="E24">
        <v>15.151999999999999</v>
      </c>
    </row>
    <row r="25" spans="1:5" x14ac:dyDescent="0.25">
      <c r="A25" t="s">
        <v>189</v>
      </c>
    </row>
    <row r="26" spans="1:5" x14ac:dyDescent="0.25">
      <c r="A26" t="s">
        <v>190</v>
      </c>
      <c r="E26" t="s">
        <v>174</v>
      </c>
    </row>
    <row r="27" spans="1:5" x14ac:dyDescent="0.25">
      <c r="A27" t="s">
        <v>191</v>
      </c>
      <c r="E27" t="s">
        <v>175</v>
      </c>
    </row>
    <row r="28" spans="1:5" x14ac:dyDescent="0.25">
      <c r="A28" t="s">
        <v>192</v>
      </c>
      <c r="E28" t="s">
        <v>176</v>
      </c>
    </row>
    <row r="29" spans="1:5" x14ac:dyDescent="0.25">
      <c r="A29" t="s">
        <v>193</v>
      </c>
      <c r="E29" t="s">
        <v>177</v>
      </c>
    </row>
    <row r="30" spans="1:5" x14ac:dyDescent="0.25">
      <c r="A30" t="s">
        <v>196</v>
      </c>
      <c r="D30" t="s">
        <v>197</v>
      </c>
      <c r="E30" t="s">
        <v>178</v>
      </c>
    </row>
    <row r="31" spans="1:5" x14ac:dyDescent="0.25">
      <c r="E31" t="s">
        <v>179</v>
      </c>
    </row>
    <row r="33" spans="1:14" x14ac:dyDescent="0.25">
      <c r="A33" t="s">
        <v>198</v>
      </c>
      <c r="E33" t="s">
        <v>180</v>
      </c>
    </row>
    <row r="35" spans="1:14" x14ac:dyDescent="0.25">
      <c r="E35" t="s">
        <v>181</v>
      </c>
    </row>
    <row r="36" spans="1:14" x14ac:dyDescent="0.25">
      <c r="E36" t="s">
        <v>182</v>
      </c>
    </row>
    <row r="37" spans="1:14" x14ac:dyDescent="0.25">
      <c r="E37" t="s">
        <v>183</v>
      </c>
      <c r="K37">
        <v>478</v>
      </c>
      <c r="L37">
        <v>992</v>
      </c>
      <c r="N37">
        <f>L37-K37</f>
        <v>514</v>
      </c>
    </row>
    <row r="38" spans="1:14" x14ac:dyDescent="0.25">
      <c r="K38">
        <v>572</v>
      </c>
      <c r="L38">
        <v>778</v>
      </c>
      <c r="N38">
        <f>L38-K38</f>
        <v>206</v>
      </c>
    </row>
    <row r="39" spans="1:14" x14ac:dyDescent="0.25">
      <c r="E39" t="s">
        <v>184</v>
      </c>
    </row>
    <row r="40" spans="1:14" x14ac:dyDescent="0.25">
      <c r="E40" t="s">
        <v>185</v>
      </c>
      <c r="K40">
        <f>ROUND(K37/$E$24,0)</f>
        <v>32</v>
      </c>
      <c r="L40">
        <f>ROUND(L37/$E$24,0)</f>
        <v>65</v>
      </c>
      <c r="N40">
        <f>L40-K40</f>
        <v>33</v>
      </c>
    </row>
    <row r="41" spans="1:14" x14ac:dyDescent="0.25">
      <c r="K41">
        <f>ROUND(K38/$E$24,0)</f>
        <v>38</v>
      </c>
      <c r="L41">
        <f>ROUND(L38/$E$24,0)</f>
        <v>51</v>
      </c>
      <c r="N41">
        <f>L41-K41</f>
        <v>13</v>
      </c>
    </row>
    <row r="44" spans="1:14" x14ac:dyDescent="0.25">
      <c r="E44" t="s">
        <v>186</v>
      </c>
    </row>
    <row r="45" spans="1:14" x14ac:dyDescent="0.25">
      <c r="D45" s="2"/>
      <c r="E45" t="s">
        <v>182</v>
      </c>
    </row>
    <row r="46" spans="1:14" x14ac:dyDescent="0.25">
      <c r="D46" s="2"/>
      <c r="E46" t="s">
        <v>187</v>
      </c>
      <c r="K46">
        <v>512</v>
      </c>
      <c r="L46">
        <v>982</v>
      </c>
      <c r="N46">
        <f>L46-K46</f>
        <v>470</v>
      </c>
    </row>
    <row r="47" spans="1:14" x14ac:dyDescent="0.25">
      <c r="D47" s="2"/>
      <c r="K47">
        <v>572</v>
      </c>
      <c r="L47">
        <v>778</v>
      </c>
      <c r="N47">
        <f>L47-K47</f>
        <v>206</v>
      </c>
    </row>
    <row r="48" spans="1:14" x14ac:dyDescent="0.25">
      <c r="D48" s="2"/>
      <c r="E48" t="s">
        <v>184</v>
      </c>
    </row>
    <row r="49" spans="4:14" x14ac:dyDescent="0.25">
      <c r="D49" s="2"/>
      <c r="E49" t="s">
        <v>185</v>
      </c>
      <c r="K49">
        <f>ROUND(K46/$E$24,0)</f>
        <v>34</v>
      </c>
      <c r="L49">
        <f>ROUND(L46/$E$24,0)</f>
        <v>65</v>
      </c>
      <c r="N49">
        <f>L49-K49</f>
        <v>31</v>
      </c>
    </row>
    <row r="50" spans="4:14" x14ac:dyDescent="0.25">
      <c r="D50" s="2"/>
      <c r="K50">
        <f>ROUND(K47/$E$24,0)</f>
        <v>38</v>
      </c>
      <c r="L50">
        <f>ROUND(L47/$E$24,0)</f>
        <v>51</v>
      </c>
      <c r="N50">
        <f>L50-K50</f>
        <v>13</v>
      </c>
    </row>
    <row r="51" spans="4:14" x14ac:dyDescent="0.25">
      <c r="D51" s="2"/>
    </row>
    <row r="52" spans="4:14" x14ac:dyDescent="0.25">
      <c r="D52" s="2"/>
    </row>
    <row r="53" spans="4:14" x14ac:dyDescent="0.25">
      <c r="D53" s="2"/>
    </row>
    <row r="54" spans="4:14" x14ac:dyDescent="0.25">
      <c r="D54" s="2"/>
    </row>
    <row r="55" spans="4:14" x14ac:dyDescent="0.25">
      <c r="D55" s="2"/>
    </row>
    <row r="56" spans="4:14" x14ac:dyDescent="0.25">
      <c r="D56" s="2"/>
    </row>
    <row r="57" spans="4:14" x14ac:dyDescent="0.25">
      <c r="D57" s="2"/>
    </row>
    <row r="58" spans="4:14" x14ac:dyDescent="0.25">
      <c r="D58" s="2"/>
    </row>
    <row r="59" spans="4:14" x14ac:dyDescent="0.25">
      <c r="D59" s="2"/>
    </row>
    <row r="60" spans="4:14" x14ac:dyDescent="0.25">
      <c r="D60" s="2"/>
    </row>
    <row r="61" spans="4:14" x14ac:dyDescent="0.25">
      <c r="D61" s="2"/>
    </row>
    <row r="62" spans="4:14" x14ac:dyDescent="0.25">
      <c r="D62" s="2"/>
    </row>
    <row r="63" spans="4:14" x14ac:dyDescent="0.25">
      <c r="D63" s="2"/>
    </row>
    <row r="64" spans="4:14" x14ac:dyDescent="0.25">
      <c r="D64" s="2"/>
    </row>
    <row r="65" spans="4:9" x14ac:dyDescent="0.25">
      <c r="D65" s="2"/>
    </row>
    <row r="66" spans="4:9" x14ac:dyDescent="0.25">
      <c r="D66" s="2"/>
    </row>
    <row r="67" spans="4:9" x14ac:dyDescent="0.25">
      <c r="D67" s="2"/>
      <c r="I67" t="s">
        <v>159</v>
      </c>
    </row>
    <row r="68" spans="4:9" x14ac:dyDescent="0.25">
      <c r="D68" s="2"/>
    </row>
    <row r="69" spans="4:9" x14ac:dyDescent="0.25">
      <c r="D69" s="2"/>
    </row>
    <row r="70" spans="4:9" x14ac:dyDescent="0.25">
      <c r="D70" s="2"/>
    </row>
    <row r="71" spans="4:9" x14ac:dyDescent="0.25">
      <c r="D71" s="2"/>
      <c r="I71" t="s">
        <v>159</v>
      </c>
    </row>
    <row r="72" spans="4:9" x14ac:dyDescent="0.25">
      <c r="D72" s="2"/>
      <c r="I72" t="s">
        <v>159</v>
      </c>
    </row>
    <row r="73" spans="4:9" x14ac:dyDescent="0.25">
      <c r="D73" s="2"/>
    </row>
    <row r="74" spans="4:9" x14ac:dyDescent="0.25">
      <c r="D74" s="2"/>
    </row>
    <row r="75" spans="4:9" x14ac:dyDescent="0.25">
      <c r="D75" s="2"/>
    </row>
    <row r="76" spans="4:9" x14ac:dyDescent="0.25">
      <c r="D76" s="2"/>
    </row>
    <row r="77" spans="4:9" x14ac:dyDescent="0.25">
      <c r="D77" s="2"/>
    </row>
    <row r="78" spans="4:9" x14ac:dyDescent="0.25">
      <c r="D78" s="2"/>
    </row>
    <row r="81" spans="4:4" x14ac:dyDescent="0.25">
      <c r="D81" s="2"/>
    </row>
    <row r="82" spans="4:4" x14ac:dyDescent="0.25">
      <c r="D82" s="2"/>
    </row>
    <row r="83" spans="4:4" x14ac:dyDescent="0.25">
      <c r="D83" s="2"/>
    </row>
    <row r="84" spans="4:4" x14ac:dyDescent="0.25">
      <c r="D84" s="2"/>
    </row>
    <row r="85" spans="4:4" x14ac:dyDescent="0.25">
      <c r="D85" s="2"/>
    </row>
    <row r="86" spans="4:4" x14ac:dyDescent="0.25">
      <c r="D86" s="2"/>
    </row>
    <row r="87" spans="4:4" x14ac:dyDescent="0.25">
      <c r="D87" s="2"/>
    </row>
    <row r="88" spans="4:4" x14ac:dyDescent="0.25">
      <c r="D88" s="2"/>
    </row>
    <row r="91" spans="4:4" x14ac:dyDescent="0.25">
      <c r="D91" s="2"/>
    </row>
    <row r="92" spans="4:4" x14ac:dyDescent="0.25">
      <c r="D92" s="2"/>
    </row>
    <row r="93" spans="4:4" x14ac:dyDescent="0.25">
      <c r="D93" s="2"/>
    </row>
    <row r="94" spans="4:4" x14ac:dyDescent="0.25">
      <c r="D94" s="2"/>
    </row>
    <row r="95" spans="4:4" x14ac:dyDescent="0.25">
      <c r="D95" s="2"/>
    </row>
    <row r="96" spans="4:4" x14ac:dyDescent="0.25">
      <c r="D96" s="2"/>
    </row>
    <row r="97" spans="1:4" x14ac:dyDescent="0.25">
      <c r="D97" s="2"/>
    </row>
    <row r="102" spans="1:4" x14ac:dyDescent="0.25">
      <c r="A102" t="s">
        <v>158</v>
      </c>
    </row>
  </sheetData>
  <pageMargins left="0.7" right="0.7" top="0.75" bottom="0.75" header="0.3" footer="0.3"/>
  <pageSetup paperSize="9" orientation="portrait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065C17-285C-4704-B5A8-4134E174D77B}">
  <dimension ref="A2:Q77"/>
  <sheetViews>
    <sheetView workbookViewId="0">
      <selection activeCell="A53" sqref="A53"/>
    </sheetView>
  </sheetViews>
  <sheetFormatPr defaultRowHeight="15" x14ac:dyDescent="0.25"/>
  <sheetData>
    <row r="2" spans="1:13" x14ac:dyDescent="0.25">
      <c r="A2" t="s">
        <v>30</v>
      </c>
    </row>
    <row r="4" spans="1:13" x14ac:dyDescent="0.25">
      <c r="A4" t="s">
        <v>31</v>
      </c>
    </row>
    <row r="5" spans="1:13" x14ac:dyDescent="0.25">
      <c r="A5" t="s">
        <v>33</v>
      </c>
    </row>
    <row r="6" spans="1:13" x14ac:dyDescent="0.25">
      <c r="A6" t="s">
        <v>34</v>
      </c>
    </row>
    <row r="8" spans="1:13" x14ac:dyDescent="0.25">
      <c r="A8" t="s">
        <v>32</v>
      </c>
    </row>
    <row r="9" spans="1:13" x14ac:dyDescent="0.25">
      <c r="A9" t="s">
        <v>33</v>
      </c>
    </row>
    <row r="11" spans="1:13" x14ac:dyDescent="0.25">
      <c r="A11" t="s">
        <v>65</v>
      </c>
    </row>
    <row r="12" spans="1:13" x14ac:dyDescent="0.25">
      <c r="A12" t="s">
        <v>66</v>
      </c>
    </row>
    <row r="15" spans="1:13" x14ac:dyDescent="0.25">
      <c r="A15" t="s">
        <v>35</v>
      </c>
      <c r="M15" t="s">
        <v>112</v>
      </c>
    </row>
    <row r="17" spans="1:17" x14ac:dyDescent="0.25">
      <c r="A17" t="s">
        <v>36</v>
      </c>
      <c r="M17" t="s">
        <v>38</v>
      </c>
      <c r="Q17" t="s">
        <v>136</v>
      </c>
    </row>
    <row r="18" spans="1:17" x14ac:dyDescent="0.25">
      <c r="M18" t="s">
        <v>57</v>
      </c>
      <c r="Q18" t="s">
        <v>61</v>
      </c>
    </row>
    <row r="19" spans="1:17" x14ac:dyDescent="0.25">
      <c r="A19" t="s">
        <v>154</v>
      </c>
      <c r="M19" t="s">
        <v>62</v>
      </c>
      <c r="Q19" t="s">
        <v>53</v>
      </c>
    </row>
    <row r="20" spans="1:17" x14ac:dyDescent="0.25">
      <c r="A20" t="s">
        <v>155</v>
      </c>
      <c r="M20" t="s">
        <v>59</v>
      </c>
      <c r="Q20" t="s">
        <v>50</v>
      </c>
    </row>
    <row r="21" spans="1:17" x14ac:dyDescent="0.25">
      <c r="M21" t="s">
        <v>60</v>
      </c>
      <c r="Q21" t="s">
        <v>69</v>
      </c>
    </row>
    <row r="22" spans="1:17" x14ac:dyDescent="0.25">
      <c r="M22" t="s">
        <v>44</v>
      </c>
      <c r="Q22" t="s">
        <v>140</v>
      </c>
    </row>
    <row r="23" spans="1:17" x14ac:dyDescent="0.25">
      <c r="A23" t="s">
        <v>157</v>
      </c>
      <c r="M23" t="s">
        <v>74</v>
      </c>
      <c r="Q23" t="s">
        <v>75</v>
      </c>
    </row>
    <row r="24" spans="1:17" x14ac:dyDescent="0.25">
      <c r="A24" t="s">
        <v>156</v>
      </c>
      <c r="M24" t="s">
        <v>71</v>
      </c>
      <c r="Q24" t="s">
        <v>91</v>
      </c>
    </row>
    <row r="25" spans="1:17" x14ac:dyDescent="0.25">
      <c r="A25" t="s">
        <v>70</v>
      </c>
      <c r="M25" t="s">
        <v>72</v>
      </c>
      <c r="Q25" t="s">
        <v>110</v>
      </c>
    </row>
    <row r="26" spans="1:17" x14ac:dyDescent="0.25">
      <c r="M26" t="s">
        <v>39</v>
      </c>
    </row>
    <row r="27" spans="1:17" x14ac:dyDescent="0.25">
      <c r="A27" t="s">
        <v>84</v>
      </c>
      <c r="M27" t="s">
        <v>40</v>
      </c>
    </row>
    <row r="28" spans="1:17" x14ac:dyDescent="0.25">
      <c r="A28" t="s">
        <v>88</v>
      </c>
      <c r="M28" t="s">
        <v>41</v>
      </c>
    </row>
    <row r="29" spans="1:17" x14ac:dyDescent="0.25">
      <c r="A29" t="s">
        <v>64</v>
      </c>
      <c r="M29" t="s">
        <v>42</v>
      </c>
    </row>
    <row r="30" spans="1:17" x14ac:dyDescent="0.25">
      <c r="M30" t="s">
        <v>43</v>
      </c>
      <c r="Q30" t="s">
        <v>117</v>
      </c>
    </row>
    <row r="31" spans="1:17" x14ac:dyDescent="0.25">
      <c r="M31" t="s">
        <v>45</v>
      </c>
      <c r="Q31" t="s">
        <v>141</v>
      </c>
    </row>
    <row r="32" spans="1:17" x14ac:dyDescent="0.25">
      <c r="A32" t="s">
        <v>92</v>
      </c>
      <c r="C32" t="s">
        <v>93</v>
      </c>
      <c r="D32" t="s">
        <v>94</v>
      </c>
      <c r="M32" t="s">
        <v>46</v>
      </c>
      <c r="Q32" t="s">
        <v>142</v>
      </c>
    </row>
    <row r="33" spans="1:17" x14ac:dyDescent="0.25">
      <c r="D33" t="s">
        <v>95</v>
      </c>
      <c r="M33" t="s">
        <v>47</v>
      </c>
      <c r="Q33" t="s">
        <v>143</v>
      </c>
    </row>
    <row r="34" spans="1:17" x14ac:dyDescent="0.25">
      <c r="M34" t="s">
        <v>48</v>
      </c>
      <c r="Q34" t="s">
        <v>144</v>
      </c>
    </row>
    <row r="35" spans="1:17" x14ac:dyDescent="0.25">
      <c r="M35" t="s">
        <v>49</v>
      </c>
      <c r="Q35" t="s">
        <v>145</v>
      </c>
    </row>
    <row r="36" spans="1:17" x14ac:dyDescent="0.25">
      <c r="M36" t="s">
        <v>51</v>
      </c>
      <c r="Q36" t="s">
        <v>146</v>
      </c>
    </row>
    <row r="37" spans="1:17" x14ac:dyDescent="0.25">
      <c r="A37" t="s">
        <v>113</v>
      </c>
      <c r="M37" t="s">
        <v>52</v>
      </c>
      <c r="Q37" t="s">
        <v>147</v>
      </c>
    </row>
    <row r="38" spans="1:17" x14ac:dyDescent="0.25">
      <c r="A38" t="s">
        <v>114</v>
      </c>
      <c r="M38" t="s">
        <v>54</v>
      </c>
      <c r="Q38" t="s">
        <v>148</v>
      </c>
    </row>
    <row r="39" spans="1:17" x14ac:dyDescent="0.25">
      <c r="A39" t="s">
        <v>115</v>
      </c>
      <c r="M39" t="s">
        <v>55</v>
      </c>
      <c r="Q39" t="s">
        <v>137</v>
      </c>
    </row>
    <row r="40" spans="1:17" x14ac:dyDescent="0.25">
      <c r="A40" t="s">
        <v>116</v>
      </c>
      <c r="M40" t="s">
        <v>56</v>
      </c>
      <c r="Q40" t="s">
        <v>135</v>
      </c>
    </row>
    <row r="41" spans="1:17" x14ac:dyDescent="0.25">
      <c r="M41" t="s">
        <v>87</v>
      </c>
      <c r="Q41" t="s">
        <v>111</v>
      </c>
    </row>
    <row r="42" spans="1:17" x14ac:dyDescent="0.25">
      <c r="M42" t="s">
        <v>77</v>
      </c>
      <c r="Q42" t="s">
        <v>149</v>
      </c>
    </row>
    <row r="43" spans="1:17" x14ac:dyDescent="0.25">
      <c r="A43" t="s">
        <v>75</v>
      </c>
      <c r="M43" t="s">
        <v>63</v>
      </c>
    </row>
    <row r="44" spans="1:17" x14ac:dyDescent="0.25">
      <c r="M44" t="s">
        <v>54</v>
      </c>
      <c r="Q44" t="s">
        <v>58</v>
      </c>
    </row>
    <row r="45" spans="1:17" x14ac:dyDescent="0.25">
      <c r="A45" t="s">
        <v>70</v>
      </c>
      <c r="M45" t="s">
        <v>67</v>
      </c>
      <c r="Q45" t="s">
        <v>37</v>
      </c>
    </row>
    <row r="46" spans="1:17" x14ac:dyDescent="0.25">
      <c r="M46" t="s">
        <v>68</v>
      </c>
      <c r="Q46" t="s">
        <v>99</v>
      </c>
    </row>
    <row r="47" spans="1:17" x14ac:dyDescent="0.25">
      <c r="A47" t="s">
        <v>138</v>
      </c>
      <c r="M47" t="s">
        <v>73</v>
      </c>
      <c r="Q47" t="s">
        <v>150</v>
      </c>
    </row>
    <row r="48" spans="1:17" x14ac:dyDescent="0.25">
      <c r="A48" t="s">
        <v>139</v>
      </c>
      <c r="M48" t="s">
        <v>45</v>
      </c>
    </row>
    <row r="49" spans="1:17" x14ac:dyDescent="0.25">
      <c r="M49" t="s">
        <v>49</v>
      </c>
      <c r="Q49" t="s">
        <v>164</v>
      </c>
    </row>
    <row r="50" spans="1:17" x14ac:dyDescent="0.25">
      <c r="M50" t="s">
        <v>76</v>
      </c>
      <c r="Q50" t="s">
        <v>165</v>
      </c>
    </row>
    <row r="51" spans="1:17" x14ac:dyDescent="0.25">
      <c r="M51" t="s">
        <v>78</v>
      </c>
    </row>
    <row r="52" spans="1:17" x14ac:dyDescent="0.25">
      <c r="M52" t="s">
        <v>79</v>
      </c>
      <c r="Q52" t="s">
        <v>199</v>
      </c>
    </row>
    <row r="53" spans="1:17" x14ac:dyDescent="0.25">
      <c r="A53" t="s">
        <v>167</v>
      </c>
      <c r="M53" t="s">
        <v>80</v>
      </c>
      <c r="Q53" t="s">
        <v>166</v>
      </c>
    </row>
    <row r="54" spans="1:17" x14ac:dyDescent="0.25">
      <c r="M54" t="s">
        <v>81</v>
      </c>
    </row>
    <row r="55" spans="1:17" x14ac:dyDescent="0.25">
      <c r="M55" t="s">
        <v>76</v>
      </c>
    </row>
    <row r="56" spans="1:17" x14ac:dyDescent="0.25">
      <c r="M56" t="s">
        <v>82</v>
      </c>
    </row>
    <row r="57" spans="1:17" x14ac:dyDescent="0.25">
      <c r="A57" t="s">
        <v>118</v>
      </c>
      <c r="M57" t="s">
        <v>83</v>
      </c>
    </row>
    <row r="58" spans="1:17" x14ac:dyDescent="0.25">
      <c r="A58" t="s">
        <v>119</v>
      </c>
      <c r="M58" t="s">
        <v>85</v>
      </c>
    </row>
    <row r="59" spans="1:17" x14ac:dyDescent="0.25">
      <c r="A59" t="s">
        <v>120</v>
      </c>
      <c r="M59" t="s">
        <v>86</v>
      </c>
    </row>
    <row r="60" spans="1:17" x14ac:dyDescent="0.25">
      <c r="A60" t="s">
        <v>121</v>
      </c>
      <c r="M60" t="s">
        <v>89</v>
      </c>
    </row>
    <row r="61" spans="1:17" x14ac:dyDescent="0.25">
      <c r="A61" t="s">
        <v>122</v>
      </c>
      <c r="M61" t="s">
        <v>90</v>
      </c>
    </row>
    <row r="62" spans="1:17" x14ac:dyDescent="0.25">
      <c r="A62" t="s">
        <v>123</v>
      </c>
      <c r="M62" t="s">
        <v>96</v>
      </c>
    </row>
    <row r="63" spans="1:17" x14ac:dyDescent="0.25">
      <c r="A63" t="s">
        <v>124</v>
      </c>
      <c r="M63" t="s">
        <v>97</v>
      </c>
    </row>
    <row r="64" spans="1:17" x14ac:dyDescent="0.25">
      <c r="A64" t="s">
        <v>125</v>
      </c>
      <c r="M64" t="s">
        <v>98</v>
      </c>
    </row>
    <row r="65" spans="1:13" x14ac:dyDescent="0.25">
      <c r="A65" t="s">
        <v>126</v>
      </c>
      <c r="M65" t="s">
        <v>100</v>
      </c>
    </row>
    <row r="66" spans="1:13" x14ac:dyDescent="0.25">
      <c r="A66" t="s">
        <v>127</v>
      </c>
      <c r="M66" t="s">
        <v>101</v>
      </c>
    </row>
    <row r="67" spans="1:13" x14ac:dyDescent="0.25">
      <c r="A67" t="s">
        <v>128</v>
      </c>
      <c r="M67" t="s">
        <v>102</v>
      </c>
    </row>
    <row r="68" spans="1:13" x14ac:dyDescent="0.25">
      <c r="M68" t="s">
        <v>103</v>
      </c>
    </row>
    <row r="69" spans="1:13" x14ac:dyDescent="0.25">
      <c r="M69" t="s">
        <v>104</v>
      </c>
    </row>
    <row r="70" spans="1:13" x14ac:dyDescent="0.25">
      <c r="M70" t="s">
        <v>105</v>
      </c>
    </row>
    <row r="71" spans="1:13" x14ac:dyDescent="0.25">
      <c r="A71" t="s">
        <v>129</v>
      </c>
      <c r="M71" t="s">
        <v>106</v>
      </c>
    </row>
    <row r="72" spans="1:13" x14ac:dyDescent="0.25">
      <c r="A72" t="s">
        <v>130</v>
      </c>
      <c r="M72" t="s">
        <v>107</v>
      </c>
    </row>
    <row r="73" spans="1:13" x14ac:dyDescent="0.25">
      <c r="A73" t="s">
        <v>131</v>
      </c>
      <c r="M73" t="s">
        <v>108</v>
      </c>
    </row>
    <row r="74" spans="1:13" x14ac:dyDescent="0.25">
      <c r="A74" t="s">
        <v>132</v>
      </c>
      <c r="M74" t="s">
        <v>109</v>
      </c>
    </row>
    <row r="75" spans="1:13" x14ac:dyDescent="0.25">
      <c r="A75" t="s">
        <v>133</v>
      </c>
    </row>
    <row r="77" spans="1:13" x14ac:dyDescent="0.25">
      <c r="A77" t="s">
        <v>134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points</vt:lpstr>
      <vt:lpstr>Removed features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</dc:creator>
  <cp:lastModifiedBy>B</cp:lastModifiedBy>
  <dcterms:created xsi:type="dcterms:W3CDTF">2023-07-04T09:25:37Z</dcterms:created>
  <dcterms:modified xsi:type="dcterms:W3CDTF">2023-07-24T14:44:05Z</dcterms:modified>
</cp:coreProperties>
</file>